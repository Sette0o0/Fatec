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s\Documents\Meus Projetos\git\Fatec\matematica para computação\mochila\"/>
    </mc:Choice>
  </mc:AlternateContent>
  <xr:revisionPtr revIDLastSave="0" documentId="8_{8683CD1C-F9CC-41E2-A90B-CE9DE518FF6C}" xr6:coauthVersionLast="47" xr6:coauthVersionMax="47" xr10:uidLastSave="{00000000-0000-0000-0000-000000000000}"/>
  <bookViews>
    <workbookView xWindow="-110" yWindow="-110" windowWidth="19420" windowHeight="10300" xr2:uid="{8E490DF3-3F37-4852-B068-507BCF7DC471}"/>
  </bookViews>
  <sheets>
    <sheet name="Planilha1" sheetId="1" r:id="rId1"/>
  </sheets>
  <definedNames>
    <definedName name="solver_adj" localSheetId="0" hidden="1">Planilha1!$D$3:$D$12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Planilha1!$C$16</definedName>
    <definedName name="solver_lhs2" localSheetId="0" hidden="1">Planilha1!$D$3:$D$12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Planilha1!$C$14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5</definedName>
    <definedName name="solver_rhs1" localSheetId="0" hidden="1">Planilha1!$D$16</definedName>
    <definedName name="solver_rhs2" localSheetId="0" hidden="1">"binário"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F3" i="1"/>
  <c r="F4" i="1"/>
  <c r="F5" i="1"/>
  <c r="F6" i="1"/>
  <c r="F7" i="1"/>
  <c r="F8" i="1"/>
  <c r="F9" i="1"/>
  <c r="F10" i="1"/>
  <c r="F11" i="1"/>
  <c r="F12" i="1"/>
  <c r="C14" i="1" l="1"/>
  <c r="C16" i="1"/>
</calcChain>
</file>

<file path=xl/sharedStrings.xml><?xml version="1.0" encoding="utf-8"?>
<sst xmlns="http://schemas.openxmlformats.org/spreadsheetml/2006/main" count="25" uniqueCount="25">
  <si>
    <t>Item - Nome</t>
  </si>
  <si>
    <t>Item - id</t>
  </si>
  <si>
    <t>Santana</t>
  </si>
  <si>
    <t>Satélite</t>
  </si>
  <si>
    <t>Jd. Morumbi</t>
  </si>
  <si>
    <t>Santa Inês</t>
  </si>
  <si>
    <t>Eugênio de Melo</t>
  </si>
  <si>
    <t>Vila Idustrial</t>
  </si>
  <si>
    <t>Vila Ema</t>
  </si>
  <si>
    <t>Parque Industrial</t>
  </si>
  <si>
    <t>São Francisco Xavier</t>
  </si>
  <si>
    <t>Jd. Das Industrias</t>
  </si>
  <si>
    <t>xi</t>
  </si>
  <si>
    <t>ci</t>
  </si>
  <si>
    <t>ai</t>
  </si>
  <si>
    <t>ci * xi</t>
  </si>
  <si>
    <t>ai * xi</t>
  </si>
  <si>
    <t>Presente ou não</t>
  </si>
  <si>
    <t>Valor Item</t>
  </si>
  <si>
    <t>Valor Item * xi</t>
  </si>
  <si>
    <t>Peso Item</t>
  </si>
  <si>
    <t>Peso Item * xi</t>
  </si>
  <si>
    <t>Valor Máximo</t>
  </si>
  <si>
    <t>Peso Mochila</t>
  </si>
  <si>
    <t>&lt;- Peso máximo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</si>
</sst>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591BE9-31CB-4F49-BEA6-D6AED869E1B1}" name="Tabela1" displayName="Tabela1" ref="B2:H12" totalsRowShown="0">
  <tableColumns count="7">
    <tableColumn id="1" xr3:uid="{E1489BC8-7FDE-4E7A-ADE0-24F8E941FD96}" name="Item - Nome"/>
    <tableColumn id="2" xr3:uid="{31453698-EF01-48BD-8E02-2BBC163BDE03}" name="Item - id" dataDxfId="5"/>
    <tableColumn id="3" xr3:uid="{ABF13254-B59A-4CCF-9FCF-9C6A0B3C8741}" name="xi" dataDxfId="4"/>
    <tableColumn id="4" xr3:uid="{5C16B060-55A3-4175-9422-09909BF924BA}" name="ci" dataDxfId="3"/>
    <tableColumn id="5" xr3:uid="{89E872C8-A2F3-44BC-AC9D-55DB4B5D5AA8}" name="ci * xi" dataDxfId="1">
      <calculatedColumnFormula>Tabela1[[#This Row],[ci]]*Tabela1[[#This Row],[xi]]</calculatedColumnFormula>
    </tableColumn>
    <tableColumn id="6" xr3:uid="{F00C4015-7EEE-4666-B77C-022A8978C480}" name="ai" dataDxfId="2"/>
    <tableColumn id="7" xr3:uid="{D23B1F79-2EE9-4504-9BB2-9895572FDC21}" name="ai * xi" dataDxfId="0">
      <calculatedColumnFormula>Tabela1[[#This Row],[ai]]*Tabela1[[#This Row],[xi]]</calculatedColumnFormula>
    </tableColumn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35FC-97A8-408C-8083-6393C096F7C6}">
  <dimension ref="B1:H16"/>
  <sheetViews>
    <sheetView tabSelected="1" workbookViewId="0">
      <selection activeCell="D4" sqref="D4"/>
    </sheetView>
  </sheetViews>
  <sheetFormatPr defaultRowHeight="14.5" x14ac:dyDescent="0.35"/>
  <cols>
    <col min="2" max="2" width="18.453125" customWidth="1"/>
    <col min="3" max="3" width="9.81640625" customWidth="1"/>
    <col min="4" max="4" width="15.1796875" customWidth="1"/>
    <col min="5" max="5" width="13.54296875" customWidth="1"/>
    <col min="6" max="6" width="11.90625" customWidth="1"/>
    <col min="7" max="7" width="12.36328125" customWidth="1"/>
    <col min="8" max="8" width="12.90625" customWidth="1"/>
  </cols>
  <sheetData>
    <row r="1" spans="2:8" x14ac:dyDescent="0.35"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2:8" x14ac:dyDescent="0.35">
      <c r="B2" t="s">
        <v>0</v>
      </c>
      <c r="C2" s="2" t="s">
        <v>1</v>
      </c>
      <c r="D2" t="s">
        <v>12</v>
      </c>
      <c r="E2" t="s">
        <v>13</v>
      </c>
      <c r="F2" t="s">
        <v>15</v>
      </c>
      <c r="G2" t="s">
        <v>14</v>
      </c>
      <c r="H2" t="s">
        <v>16</v>
      </c>
    </row>
    <row r="3" spans="2:8" x14ac:dyDescent="0.35">
      <c r="B3" t="s">
        <v>2</v>
      </c>
      <c r="C3" s="1">
        <v>1</v>
      </c>
      <c r="D3" s="1">
        <v>1</v>
      </c>
      <c r="E3" s="1">
        <v>200</v>
      </c>
      <c r="F3" s="1">
        <f>Tabela1[[#This Row],[ci]]*Tabela1[[#This Row],[xi]]</f>
        <v>200</v>
      </c>
      <c r="G3" s="1">
        <v>20</v>
      </c>
      <c r="H3" s="1">
        <f>Tabela1[[#This Row],[ai]]*Tabela1[[#This Row],[xi]]</f>
        <v>20</v>
      </c>
    </row>
    <row r="4" spans="2:8" x14ac:dyDescent="0.35">
      <c r="B4" t="s">
        <v>3</v>
      </c>
      <c r="C4" s="1">
        <v>2</v>
      </c>
      <c r="D4" s="1">
        <v>1</v>
      </c>
      <c r="E4" s="1">
        <v>400</v>
      </c>
      <c r="F4" s="1">
        <f>Tabela1[[#This Row],[ci]]*Tabela1[[#This Row],[xi]]</f>
        <v>400</v>
      </c>
      <c r="G4" s="1">
        <v>40</v>
      </c>
      <c r="H4" s="1">
        <f>Tabela1[[#This Row],[ai]]*Tabela1[[#This Row],[xi]]</f>
        <v>40</v>
      </c>
    </row>
    <row r="5" spans="2:8" x14ac:dyDescent="0.35">
      <c r="B5" t="s">
        <v>4</v>
      </c>
      <c r="C5" s="1">
        <v>3</v>
      </c>
      <c r="D5" s="1">
        <v>0</v>
      </c>
      <c r="E5" s="1">
        <v>200</v>
      </c>
      <c r="F5" s="1">
        <f>Tabela1[[#This Row],[ci]]*Tabela1[[#This Row],[xi]]</f>
        <v>0</v>
      </c>
      <c r="G5" s="1">
        <v>30</v>
      </c>
      <c r="H5" s="1">
        <f>Tabela1[[#This Row],[ai]]*Tabela1[[#This Row],[xi]]</f>
        <v>0</v>
      </c>
    </row>
    <row r="6" spans="2:8" x14ac:dyDescent="0.35">
      <c r="B6" t="s">
        <v>5</v>
      </c>
      <c r="C6" s="1">
        <v>4</v>
      </c>
      <c r="D6" s="1">
        <v>0</v>
      </c>
      <c r="E6" s="1">
        <v>100</v>
      </c>
      <c r="F6" s="1">
        <f>Tabela1[[#This Row],[ci]]*Tabela1[[#This Row],[xi]]</f>
        <v>0</v>
      </c>
      <c r="G6" s="1">
        <v>15</v>
      </c>
      <c r="H6" s="1">
        <f>Tabela1[[#This Row],[ai]]*Tabela1[[#This Row],[xi]]</f>
        <v>0</v>
      </c>
    </row>
    <row r="7" spans="2:8" x14ac:dyDescent="0.35">
      <c r="B7" t="s">
        <v>6</v>
      </c>
      <c r="C7" s="1">
        <v>5</v>
      </c>
      <c r="D7" s="1">
        <v>0</v>
      </c>
      <c r="E7" s="1">
        <v>50</v>
      </c>
      <c r="F7" s="1">
        <f>Tabela1[[#This Row],[ci]]*Tabela1[[#This Row],[xi]]</f>
        <v>0</v>
      </c>
      <c r="G7" s="1">
        <v>7</v>
      </c>
      <c r="H7" s="1">
        <f>Tabela1[[#This Row],[ai]]*Tabela1[[#This Row],[xi]]</f>
        <v>0</v>
      </c>
    </row>
    <row r="8" spans="2:8" x14ac:dyDescent="0.35">
      <c r="B8" t="s">
        <v>7</v>
      </c>
      <c r="C8" s="1">
        <v>6</v>
      </c>
      <c r="D8" s="1">
        <v>0</v>
      </c>
      <c r="E8" s="1">
        <v>150</v>
      </c>
      <c r="F8" s="1">
        <f>Tabela1[[#This Row],[ci]]*Tabela1[[#This Row],[xi]]</f>
        <v>0</v>
      </c>
      <c r="G8" s="1">
        <v>25</v>
      </c>
      <c r="H8" s="1">
        <f>Tabela1[[#This Row],[ai]]*Tabela1[[#This Row],[xi]]</f>
        <v>0</v>
      </c>
    </row>
    <row r="9" spans="2:8" x14ac:dyDescent="0.35">
      <c r="B9" t="s">
        <v>8</v>
      </c>
      <c r="C9" s="1">
        <v>7</v>
      </c>
      <c r="D9" s="1">
        <v>0</v>
      </c>
      <c r="E9" s="1">
        <v>150</v>
      </c>
      <c r="F9" s="1">
        <f>Tabela1[[#This Row],[ci]]*Tabela1[[#This Row],[xi]]</f>
        <v>0</v>
      </c>
      <c r="G9" s="1">
        <v>35</v>
      </c>
      <c r="H9" s="1">
        <f>Tabela1[[#This Row],[ai]]*Tabela1[[#This Row],[xi]]</f>
        <v>0</v>
      </c>
    </row>
    <row r="10" spans="2:8" x14ac:dyDescent="0.35">
      <c r="B10" t="s">
        <v>9</v>
      </c>
      <c r="C10" s="1">
        <v>8</v>
      </c>
      <c r="D10" s="1">
        <v>1</v>
      </c>
      <c r="E10" s="1">
        <v>250</v>
      </c>
      <c r="F10" s="1">
        <f>Tabela1[[#This Row],[ci]]*Tabela1[[#This Row],[xi]]</f>
        <v>250</v>
      </c>
      <c r="G10" s="1">
        <v>30</v>
      </c>
      <c r="H10" s="1">
        <f>Tabela1[[#This Row],[ai]]*Tabela1[[#This Row],[xi]]</f>
        <v>30</v>
      </c>
    </row>
    <row r="11" spans="2:8" x14ac:dyDescent="0.35">
      <c r="B11" t="s">
        <v>10</v>
      </c>
      <c r="C11" s="1">
        <v>9</v>
      </c>
      <c r="D11" s="1">
        <v>1</v>
      </c>
      <c r="E11" s="1">
        <v>50</v>
      </c>
      <c r="F11" s="1">
        <f>Tabela1[[#This Row],[ci]]*Tabela1[[#This Row],[xi]]</f>
        <v>50</v>
      </c>
      <c r="G11" s="1">
        <v>10</v>
      </c>
      <c r="H11" s="1">
        <f>Tabela1[[#This Row],[ai]]*Tabela1[[#This Row],[xi]]</f>
        <v>10</v>
      </c>
    </row>
    <row r="12" spans="2:8" x14ac:dyDescent="0.35">
      <c r="B12" t="s">
        <v>11</v>
      </c>
      <c r="C12" s="1">
        <v>10</v>
      </c>
      <c r="D12" s="1">
        <v>0</v>
      </c>
      <c r="E12" s="1">
        <v>150</v>
      </c>
      <c r="F12" s="1">
        <f>Tabela1[[#This Row],[ci]]*Tabela1[[#This Row],[xi]]</f>
        <v>0</v>
      </c>
      <c r="G12" s="1">
        <v>25</v>
      </c>
      <c r="H12" s="1">
        <f>Tabela1[[#This Row],[ai]]*Tabela1[[#This Row],[xi]]</f>
        <v>0</v>
      </c>
    </row>
    <row r="14" spans="2:8" x14ac:dyDescent="0.35">
      <c r="B14" t="s">
        <v>22</v>
      </c>
      <c r="C14">
        <f>SUM(Tabela1[ci * xi])</f>
        <v>900</v>
      </c>
    </row>
    <row r="16" spans="2:8" x14ac:dyDescent="0.35">
      <c r="B16" t="s">
        <v>23</v>
      </c>
      <c r="C16">
        <f>SUM(Tabela1[ai * xi])</f>
        <v>100</v>
      </c>
      <c r="D16">
        <v>100</v>
      </c>
      <c r="E16" t="s">
        <v>24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SETTE DE ARAUJO</dc:creator>
  <cp:lastModifiedBy>RAFAEL SETTE DE ARAUJO</cp:lastModifiedBy>
  <dcterms:created xsi:type="dcterms:W3CDTF">2025-11-29T23:57:23Z</dcterms:created>
  <dcterms:modified xsi:type="dcterms:W3CDTF">2025-11-30T00:32:50Z</dcterms:modified>
</cp:coreProperties>
</file>